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na\Desktop\STALLANTIS\Volume Accuracy\"/>
    </mc:Choice>
  </mc:AlternateContent>
  <xr:revisionPtr revIDLastSave="0" documentId="13_ncr:1_{C9F08ADD-7D66-4473-AFDB-2DD1BF6B4995}" xr6:coauthVersionLast="47" xr6:coauthVersionMax="47" xr10:uidLastSave="{00000000-0000-0000-0000-000000000000}"/>
  <bookViews>
    <workbookView xWindow="9510" yWindow="0" windowWidth="9780" windowHeight="10170" xr2:uid="{35154E32-7211-4BA3-908C-E4108C15FC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J2" i="1" a="1"/>
  <c r="J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<sst xmlns="http://schemas.openxmlformats.org/spreadsheetml/2006/main" count="92" uniqueCount="39">
  <si>
    <t>FIASA</t>
  </si>
  <si>
    <t>363CC(1.0)+,CMB(GA)+,ECO(PL8)+,ELT(NO)+,PC(CA79)+includedexcluded</t>
  </si>
  <si>
    <t>CC(1.0)+,CMB(GA)+,ECO(PL8)+,ELT(NO)+,PC(CA79)+</t>
  </si>
  <si>
    <t>358AM(11)+,CC(1.3)+,CMB(GA)+,ECO(PL7P)+,PC(C513)+includedexcluded</t>
  </si>
  <si>
    <t>AM(11)+,CC(1.3)+,CMB(GA)+,ECO(PL7P)+,PC(C513)+</t>
  </si>
  <si>
    <t>358AM(47)+,CC(1.3)+,CMB(BZ)+,PC(C513)+includedexcluded</t>
  </si>
  <si>
    <t>AM(47)+,CC(1.3)+,CMB(BZ)+,PC(C513)+</t>
  </si>
  <si>
    <t>358CC(1.0)+,CMB(GA)+,ECO(PL7O)+,PC(C513)+includedexcluded</t>
  </si>
  <si>
    <t>CC(1.0)+,CMB(GA)+,ECO(PL7O)+,PC(C513)+</t>
  </si>
  <si>
    <t>358AM(11)+,CC(1.3)+,CMB(GA)+,ECO(BPL7)+,PC(CA79)+includedexcluded</t>
  </si>
  <si>
    <t>AM(11)+,CC(1.3)+,CMB(GA)+,ECO(BPL7)+,PC(CA79)+</t>
  </si>
  <si>
    <t>358AM(47)+,CC(1.3)+,CMB(BZ)+,PC(CA79)+includedexcluded</t>
  </si>
  <si>
    <t>AM(47)+,CC(1.3)+,CMB(BZ)+,PC(CA79)+</t>
  </si>
  <si>
    <t>358CC(1.3)+,CMB(GA)+,ECO(PL8)+,PC(C513)+includedexcluded</t>
  </si>
  <si>
    <t>CC(1.3)+,CMB(GA)+,ECO(PL8)+,PC(C513)+</t>
  </si>
  <si>
    <t>358CC(1.3)+,CMB(GA)+,ECO(PL7O)+,PC(CA79)+includedexcluded</t>
  </si>
  <si>
    <t>CC(1.3)+,CMB(GA)+,ECO(PL7O)+,PC(CA79)+</t>
  </si>
  <si>
    <t>Mix</t>
  </si>
  <si>
    <t>fqty</t>
  </si>
  <si>
    <t>included</t>
  </si>
  <si>
    <t>excluded</t>
  </si>
  <si>
    <t>Plant</t>
  </si>
  <si>
    <t>PN</t>
  </si>
  <si>
    <t>Modelo</t>
  </si>
  <si>
    <t>Unique_Key</t>
  </si>
  <si>
    <t>multivalues</t>
  </si>
  <si>
    <t>nidElementTypeParent</t>
  </si>
  <si>
    <t>MY(26)+</t>
  </si>
  <si>
    <t>341MY(26)+29,39297</t>
  </si>
  <si>
    <t>341</t>
  </si>
  <si>
    <t>1002848150</t>
  </si>
  <si>
    <t>97</t>
  </si>
  <si>
    <t>29,392</t>
  </si>
  <si>
    <t>1</t>
  </si>
  <si>
    <t>VolumeTT</t>
  </si>
  <si>
    <t>Volume_Mix</t>
  </si>
  <si>
    <t>341MY(26)+029,097,392excluded</t>
  </si>
  <si>
    <t>tt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</si>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</sst>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0" fontId="2" fillId="0" borderId="0" xfId="0" applyFont="1"/>
    <xf numFmtId="0" fontId="3" fillId="0" borderId="0" xfId="0" applyNumberFormat="1" applyFont="1" applyFill="1" applyBorder="1" applyAlignment="1" applyProtection="1"/>
    <xf numFmtId="1" fontId="3" fillId="0" borderId="0" xfId="0" applyNumberFormat="1" applyFont="1" applyFill="1" applyBorder="1" applyAlignment="1" applyProtection="1"/>
    <xf numFmtId="3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2" fontId="3" fillId="0" borderId="0" xfId="0" applyNumberFormat="1" applyFont="1" applyFill="1" applyBorder="1" applyAlignment="1" applyProtection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16F4-5F9F-47B4-B780-B27E916C46B2}">
  <dimension ref="A1:U36"/>
  <sheetViews>
    <sheetView tabSelected="1" topLeftCell="B1" workbookViewId="0">
      <selection activeCell="D12" sqref="D12"/>
    </sheetView>
  </sheetViews>
  <sheetFormatPr defaultRowHeight="14.5" x14ac:dyDescent="0.35"/>
  <cols>
    <col min="2" max="2" width="23.90625" customWidth="1"/>
    <col min="4" max="4" width="12.36328125" style="6" bestFit="1" customWidth="1"/>
    <col min="8" max="8" width="3.90625" bestFit="1" customWidth="1"/>
    <col min="9" max="9" width="4.36328125" style="1" bestFit="1" customWidth="1"/>
    <col min="10" max="10" width="7" style="1" bestFit="1" customWidth="1"/>
    <col min="13" max="13" width="10.81640625" bestFit="1" customWidth="1"/>
    <col min="16" max="16" width="9.90625" bestFit="1" customWidth="1"/>
    <col min="18" max="18" width="17.90625" customWidth="1"/>
    <col min="21" max="21" width="8.7265625" style="1"/>
  </cols>
  <sheetData>
    <row r="1" spans="1:21" x14ac:dyDescent="0.35">
      <c r="A1" t="s">
        <v>25</v>
      </c>
      <c r="B1" t="s">
        <v>24</v>
      </c>
      <c r="C1" t="s">
        <v>23</v>
      </c>
      <c r="D1" s="6" t="s">
        <v>22</v>
      </c>
      <c r="E1" t="s">
        <v>21</v>
      </c>
      <c r="F1" t="s">
        <v>20</v>
      </c>
      <c r="G1" t="s">
        <v>19</v>
      </c>
      <c r="H1" t="s">
        <v>18</v>
      </c>
      <c r="I1" s="1" t="s">
        <v>17</v>
      </c>
      <c r="L1" t="s">
        <v>23</v>
      </c>
      <c r="M1" t="s">
        <v>22</v>
      </c>
      <c r="N1" t="s">
        <v>21</v>
      </c>
      <c r="O1" t="s">
        <v>25</v>
      </c>
      <c r="P1" t="s">
        <v>19</v>
      </c>
      <c r="Q1" t="s">
        <v>20</v>
      </c>
      <c r="R1" t="s">
        <v>24</v>
      </c>
      <c r="S1" t="s">
        <v>34</v>
      </c>
      <c r="T1" t="s">
        <v>35</v>
      </c>
      <c r="U1" s="1" t="s">
        <v>17</v>
      </c>
    </row>
    <row r="2" spans="1:21" x14ac:dyDescent="0.35">
      <c r="A2" t="s">
        <v>16</v>
      </c>
      <c r="B2" t="s">
        <v>15</v>
      </c>
      <c r="C2">
        <v>358</v>
      </c>
      <c r="D2" s="7">
        <v>522370700</v>
      </c>
      <c r="E2" t="s">
        <v>0</v>
      </c>
      <c r="H2">
        <v>1</v>
      </c>
      <c r="I2" s="1">
        <v>0</v>
      </c>
      <c r="J2" s="1" cm="1">
        <f t="array" ref="J2">_xlfn._xlws.FILTER(U:U,M:M=D2)</f>
        <v>0</v>
      </c>
      <c r="L2">
        <v>341</v>
      </c>
      <c r="M2">
        <v>1002848150</v>
      </c>
      <c r="N2" t="s">
        <v>0</v>
      </c>
      <c r="O2" t="s">
        <v>27</v>
      </c>
      <c r="P2" s="5">
        <v>29392</v>
      </c>
      <c r="Q2">
        <v>97</v>
      </c>
      <c r="R2" t="s">
        <v>28</v>
      </c>
      <c r="S2" s="5">
        <v>85285</v>
      </c>
      <c r="T2" s="5">
        <v>69547</v>
      </c>
      <c r="U2" s="1">
        <v>0.82</v>
      </c>
    </row>
    <row r="3" spans="1:21" x14ac:dyDescent="0.35">
      <c r="A3" t="s">
        <v>14</v>
      </c>
      <c r="B3" t="s">
        <v>13</v>
      </c>
      <c r="C3">
        <v>358</v>
      </c>
      <c r="D3" s="7">
        <v>522253720</v>
      </c>
      <c r="E3" t="s">
        <v>0</v>
      </c>
      <c r="H3">
        <v>1</v>
      </c>
      <c r="I3" s="1">
        <v>0.13578251739613789</v>
      </c>
      <c r="J3" s="1" cm="1">
        <f t="array" ref="J3">_xlfn._xlws.FILTER(U:U,M:M=D3)</f>
        <v>0.14000000000000001</v>
      </c>
      <c r="L3">
        <v>341</v>
      </c>
      <c r="M3">
        <v>1002848160</v>
      </c>
      <c r="N3" t="s">
        <v>0</v>
      </c>
      <c r="O3" t="s">
        <v>27</v>
      </c>
      <c r="P3" s="5">
        <v>29097392</v>
      </c>
      <c r="R3" t="s">
        <v>36</v>
      </c>
      <c r="S3" s="5">
        <v>85285</v>
      </c>
      <c r="T3" s="5">
        <v>15738</v>
      </c>
      <c r="U3" s="1">
        <v>0.18</v>
      </c>
    </row>
    <row r="4" spans="1:21" x14ac:dyDescent="0.35">
      <c r="A4" t="s">
        <v>12</v>
      </c>
      <c r="B4" t="s">
        <v>11</v>
      </c>
      <c r="C4">
        <v>358</v>
      </c>
      <c r="D4" s="7">
        <v>522301360</v>
      </c>
      <c r="E4" t="s">
        <v>0</v>
      </c>
      <c r="H4">
        <v>1</v>
      </c>
      <c r="I4" s="1">
        <v>1.361839667311731E-2</v>
      </c>
      <c r="J4" s="1" cm="1">
        <f t="array" ref="J4">_xlfn._xlws.FILTER(U:U,M:M=D4)</f>
        <v>0.01</v>
      </c>
      <c r="L4">
        <v>358</v>
      </c>
      <c r="M4">
        <v>522253710</v>
      </c>
      <c r="N4" t="s">
        <v>0</v>
      </c>
      <c r="O4" t="s">
        <v>10</v>
      </c>
      <c r="R4" t="s">
        <v>9</v>
      </c>
      <c r="S4" s="5">
        <v>97148</v>
      </c>
      <c r="T4">
        <v>0</v>
      </c>
      <c r="U4" s="1">
        <v>0</v>
      </c>
    </row>
    <row r="5" spans="1:21" x14ac:dyDescent="0.35">
      <c r="A5" t="s">
        <v>10</v>
      </c>
      <c r="B5" t="s">
        <v>9</v>
      </c>
      <c r="C5">
        <v>358</v>
      </c>
      <c r="D5" s="7">
        <v>522253710</v>
      </c>
      <c r="E5" t="s">
        <v>0</v>
      </c>
      <c r="H5">
        <v>1</v>
      </c>
      <c r="I5" s="1">
        <v>0</v>
      </c>
      <c r="J5" s="1" cm="1">
        <f t="array" ref="J5">_xlfn._xlws.FILTER(U:U,M:M=D5)</f>
        <v>0</v>
      </c>
      <c r="L5">
        <v>358</v>
      </c>
      <c r="M5">
        <v>522253720</v>
      </c>
      <c r="N5" t="s">
        <v>0</v>
      </c>
      <c r="O5" t="s">
        <v>14</v>
      </c>
      <c r="R5" t="s">
        <v>13</v>
      </c>
      <c r="S5" s="5">
        <v>97148</v>
      </c>
      <c r="T5" s="5">
        <v>13191</v>
      </c>
      <c r="U5" s="1">
        <v>0.14000000000000001</v>
      </c>
    </row>
    <row r="6" spans="1:21" x14ac:dyDescent="0.35">
      <c r="A6" t="s">
        <v>8</v>
      </c>
      <c r="B6" t="s">
        <v>7</v>
      </c>
      <c r="C6">
        <v>358</v>
      </c>
      <c r="D6" s="7">
        <v>522370690</v>
      </c>
      <c r="E6" t="s">
        <v>0</v>
      </c>
      <c r="H6">
        <v>1</v>
      </c>
      <c r="I6" s="1">
        <v>0</v>
      </c>
      <c r="J6" s="1" cm="1">
        <f t="array" ref="J6">_xlfn._xlws.FILTER(U:U,M:M=D6)</f>
        <v>0</v>
      </c>
      <c r="L6">
        <v>358</v>
      </c>
      <c r="M6">
        <v>522277250</v>
      </c>
      <c r="N6" t="s">
        <v>0</v>
      </c>
      <c r="O6" t="s">
        <v>6</v>
      </c>
      <c r="R6" t="s">
        <v>5</v>
      </c>
      <c r="S6" s="5">
        <v>97148</v>
      </c>
      <c r="T6" s="5">
        <v>7885</v>
      </c>
      <c r="U6" s="1">
        <v>0.08</v>
      </c>
    </row>
    <row r="7" spans="1:21" x14ac:dyDescent="0.35">
      <c r="A7" t="s">
        <v>6</v>
      </c>
      <c r="B7" t="s">
        <v>5</v>
      </c>
      <c r="C7">
        <v>358</v>
      </c>
      <c r="D7" s="7">
        <v>522277250</v>
      </c>
      <c r="E7" t="s">
        <v>0</v>
      </c>
      <c r="H7">
        <v>1</v>
      </c>
      <c r="I7" s="1">
        <v>8.1164820685963687E-2</v>
      </c>
      <c r="J7" s="1" cm="1">
        <f t="array" ref="J7">_xlfn._xlws.FILTER(U:U,M:M=D7)</f>
        <v>0.08</v>
      </c>
      <c r="L7">
        <v>358</v>
      </c>
      <c r="M7">
        <v>522290780</v>
      </c>
      <c r="N7" t="s">
        <v>0</v>
      </c>
      <c r="O7" t="s">
        <v>4</v>
      </c>
      <c r="R7" t="s">
        <v>3</v>
      </c>
      <c r="S7" s="5">
        <v>97148</v>
      </c>
      <c r="T7">
        <v>0</v>
      </c>
      <c r="U7" s="1">
        <v>0</v>
      </c>
    </row>
    <row r="8" spans="1:21" x14ac:dyDescent="0.35">
      <c r="A8" t="s">
        <v>4</v>
      </c>
      <c r="B8" t="s">
        <v>3</v>
      </c>
      <c r="C8">
        <v>358</v>
      </c>
      <c r="D8" s="7">
        <v>522290780</v>
      </c>
      <c r="E8" t="s">
        <v>0</v>
      </c>
      <c r="H8">
        <v>1</v>
      </c>
      <c r="I8" s="1">
        <v>0</v>
      </c>
      <c r="J8" s="1" cm="1">
        <f t="array" ref="J8">_xlfn._xlws.FILTER(U:U,M:M=D8)</f>
        <v>0</v>
      </c>
      <c r="L8">
        <v>358</v>
      </c>
      <c r="M8">
        <v>522301360</v>
      </c>
      <c r="N8" t="s">
        <v>0</v>
      </c>
      <c r="O8" t="s">
        <v>12</v>
      </c>
      <c r="R8" t="s">
        <v>11</v>
      </c>
      <c r="S8" s="5">
        <v>97148</v>
      </c>
      <c r="T8" s="5">
        <v>1323</v>
      </c>
      <c r="U8" s="1">
        <v>0.01</v>
      </c>
    </row>
    <row r="9" spans="1:21" x14ac:dyDescent="0.35">
      <c r="A9" t="s">
        <v>2</v>
      </c>
      <c r="B9" t="s">
        <v>1</v>
      </c>
      <c r="C9">
        <v>363</v>
      </c>
      <c r="D9" s="7">
        <v>522637280</v>
      </c>
      <c r="E9" t="s">
        <v>0</v>
      </c>
      <c r="H9">
        <v>1</v>
      </c>
      <c r="I9" s="1">
        <v>0.43274021352313169</v>
      </c>
      <c r="J9" s="1" cm="1">
        <f t="array" ref="J9">_xlfn._xlws.FILTER(U:U,M:M=D9)</f>
        <v>0.43</v>
      </c>
      <c r="L9">
        <v>358</v>
      </c>
      <c r="M9">
        <v>522370690</v>
      </c>
      <c r="N9" t="s">
        <v>0</v>
      </c>
      <c r="O9" t="s">
        <v>8</v>
      </c>
      <c r="R9" t="s">
        <v>7</v>
      </c>
      <c r="S9" s="5">
        <v>97148</v>
      </c>
      <c r="T9">
        <v>0</v>
      </c>
      <c r="U9" s="1">
        <v>0</v>
      </c>
    </row>
    <row r="10" spans="1:21" x14ac:dyDescent="0.35">
      <c r="L10">
        <v>358</v>
      </c>
      <c r="M10">
        <v>522370700</v>
      </c>
      <c r="N10" t="s">
        <v>0</v>
      </c>
      <c r="O10" t="s">
        <v>16</v>
      </c>
      <c r="R10" t="s">
        <v>15</v>
      </c>
      <c r="S10" s="5">
        <v>97148</v>
      </c>
      <c r="T10">
        <v>0</v>
      </c>
      <c r="U10" s="1">
        <v>0</v>
      </c>
    </row>
    <row r="11" spans="1:21" x14ac:dyDescent="0.35">
      <c r="L11">
        <v>363</v>
      </c>
      <c r="M11">
        <v>522637280</v>
      </c>
      <c r="N11" t="s">
        <v>0</v>
      </c>
      <c r="O11" t="s">
        <v>2</v>
      </c>
      <c r="R11" t="s">
        <v>1</v>
      </c>
      <c r="S11" s="5">
        <v>84300</v>
      </c>
      <c r="T11" s="5">
        <v>36480</v>
      </c>
      <c r="U11" s="1">
        <v>0.43</v>
      </c>
    </row>
    <row r="12" spans="1:21" x14ac:dyDescent="0.35">
      <c r="R12" s="2"/>
    </row>
    <row r="14" spans="1:21" x14ac:dyDescent="0.35">
      <c r="A14" s="3" t="s">
        <v>25</v>
      </c>
      <c r="B14" s="3" t="s">
        <v>24</v>
      </c>
      <c r="C14" s="3" t="s">
        <v>23</v>
      </c>
      <c r="D14" s="8" t="s">
        <v>22</v>
      </c>
      <c r="E14" s="3" t="s">
        <v>21</v>
      </c>
      <c r="F14" s="3" t="s">
        <v>20</v>
      </c>
      <c r="G14" s="3" t="s">
        <v>19</v>
      </c>
      <c r="H14" s="3" t="s">
        <v>18</v>
      </c>
      <c r="I14" s="3" t="s">
        <v>26</v>
      </c>
    </row>
    <row r="15" spans="1:21" x14ac:dyDescent="0.35">
      <c r="A15" s="3" t="s">
        <v>27</v>
      </c>
      <c r="B15" s="3" t="s">
        <v>28</v>
      </c>
      <c r="C15" s="3" t="s">
        <v>29</v>
      </c>
      <c r="D15" s="8" t="s">
        <v>30</v>
      </c>
      <c r="E15" s="3" t="s">
        <v>0</v>
      </c>
      <c r="F15" s="3" t="s">
        <v>31</v>
      </c>
      <c r="G15" s="3" t="s">
        <v>32</v>
      </c>
      <c r="H15" s="4">
        <v>1</v>
      </c>
      <c r="I15" s="3" t="s">
        <v>33</v>
      </c>
    </row>
    <row r="17" spans="8:8" x14ac:dyDescent="0.35">
      <c r="H17" s="2"/>
    </row>
    <row r="34" spans="1:2" x14ac:dyDescent="0.35">
      <c r="A34" t="s">
        <v>37</v>
      </c>
      <c r="B34">
        <v>40900</v>
      </c>
    </row>
    <row r="35" spans="1:2" x14ac:dyDescent="0.35">
      <c r="A35" t="s">
        <v>38</v>
      </c>
      <c r="B35">
        <f>6300+6300+7875+4725</f>
        <v>25200</v>
      </c>
    </row>
    <row r="36" spans="1:2" x14ac:dyDescent="0.35">
      <c r="B36">
        <f>B35/B34</f>
        <v>0.61613691931540338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(DHL Supply Chain)</dc:creator>
  <cp:lastModifiedBy>Vincent Pernarh (DHL Supply Chain)</cp:lastModifiedBy>
  <dcterms:created xsi:type="dcterms:W3CDTF">2025-08-04T17:31:54Z</dcterms:created>
  <dcterms:modified xsi:type="dcterms:W3CDTF">2025-08-06T20:00:17Z</dcterms:modified>
</cp:coreProperties>
</file>